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esktop/Ze/repository/swarmchestrate/Swarmchestrate-Decentralised-Auto-Scaling/bookinfo_experiment_setup/client-package/client/"/>
    </mc:Choice>
  </mc:AlternateContent>
  <xr:revisionPtr revIDLastSave="0" documentId="8_{1BD6DCE9-ED08-414C-9A68-5D551841196D}" xr6:coauthVersionLast="47" xr6:coauthVersionMax="47" xr10:uidLastSave="{00000000-0000-0000-0000-000000000000}"/>
  <bookViews>
    <workbookView xWindow="1360" yWindow="1680" windowWidth="28040" windowHeight="17440" xr2:uid="{EA027F24-7EE8-1C4A-8562-2E3701E0B4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J15" i="1"/>
  <c r="J14" i="1"/>
  <c r="J12" i="1"/>
  <c r="J11" i="1"/>
  <c r="J9" i="1"/>
  <c r="J8" i="1"/>
  <c r="J6" i="1"/>
  <c r="J5" i="1"/>
  <c r="J3" i="1"/>
  <c r="J2" i="1"/>
  <c r="I18" i="1"/>
  <c r="I17" i="1"/>
  <c r="I15" i="1"/>
  <c r="I14" i="1"/>
  <c r="I12" i="1"/>
  <c r="I11" i="1"/>
  <c r="I9" i="1"/>
  <c r="I8" i="1"/>
  <c r="I6" i="1"/>
  <c r="I5" i="1"/>
  <c r="I3" i="1"/>
  <c r="I2" i="1"/>
  <c r="G18" i="1"/>
  <c r="G17" i="1"/>
  <c r="G15" i="1"/>
  <c r="G14" i="1"/>
  <c r="G12" i="1"/>
  <c r="G11" i="1"/>
  <c r="G9" i="1"/>
  <c r="G8" i="1"/>
  <c r="G6" i="1"/>
  <c r="G5" i="1"/>
  <c r="G3" i="1"/>
  <c r="G2" i="1"/>
</calcChain>
</file>

<file path=xl/sharedStrings.xml><?xml version="1.0" encoding="utf-8"?>
<sst xmlns="http://schemas.openxmlformats.org/spreadsheetml/2006/main" count="42" uniqueCount="13">
  <si>
    <t>HTTP_RPM</t>
  </si>
  <si>
    <t>details</t>
  </si>
  <si>
    <t>HTTP_LAT</t>
  </si>
  <si>
    <t>CPU</t>
  </si>
  <si>
    <t>Mem</t>
  </si>
  <si>
    <t>RPS=60</t>
  </si>
  <si>
    <t>RPS=100</t>
  </si>
  <si>
    <t>RPS=130</t>
  </si>
  <si>
    <t>productpage cpu500</t>
  </si>
  <si>
    <t>productpage cpu1000</t>
  </si>
  <si>
    <t>RPS=190</t>
  </si>
  <si>
    <t>rps=220</t>
  </si>
  <si>
    <t>rps=230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</si>
</sst>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2979-7A94-5744-A82C-E28388FD8CD5}">
  <dimension ref="A1:J18"/>
  <sheetViews>
    <sheetView tabSelected="1" topLeftCell="A2" workbookViewId="0">
      <selection activeCell="G25" sqref="G25"/>
    </sheetView>
  </sheetViews>
  <sheetFormatPr baseColWidth="10" defaultRowHeight="16" x14ac:dyDescent="0.2"/>
  <cols>
    <col min="2" max="2" width="22.6640625" customWidth="1"/>
  </cols>
  <sheetData>
    <row r="1" spans="1:10" x14ac:dyDescent="0.2">
      <c r="A1" t="s">
        <v>5</v>
      </c>
      <c r="C1" t="s">
        <v>0</v>
      </c>
      <c r="D1" t="s">
        <v>2</v>
      </c>
      <c r="E1" t="s">
        <v>3</v>
      </c>
      <c r="F1" t="s">
        <v>4</v>
      </c>
    </row>
    <row r="2" spans="1:10" x14ac:dyDescent="0.2">
      <c r="B2" t="s">
        <v>1</v>
      </c>
      <c r="C2">
        <v>7670</v>
      </c>
      <c r="D2">
        <v>12.5</v>
      </c>
      <c r="E2">
        <v>84</v>
      </c>
      <c r="F2">
        <v>22</v>
      </c>
      <c r="G2">
        <f>INT(C2/60)</f>
        <v>127</v>
      </c>
      <c r="I2">
        <f>ROUND(E2/D2,1)</f>
        <v>6.7</v>
      </c>
      <c r="J2">
        <f>E2/(1000*(D2*0.001*C2/60))</f>
        <v>5.2568448500651885E-2</v>
      </c>
    </row>
    <row r="3" spans="1:10" x14ac:dyDescent="0.2">
      <c r="B3" t="s">
        <v>8</v>
      </c>
      <c r="C3">
        <v>3850</v>
      </c>
      <c r="D3">
        <v>39</v>
      </c>
      <c r="E3">
        <v>321</v>
      </c>
      <c r="F3">
        <v>280</v>
      </c>
      <c r="G3">
        <f>INT(C3/60)</f>
        <v>64</v>
      </c>
      <c r="I3">
        <f>ROUND(E3/D3,1)</f>
        <v>8.1999999999999993</v>
      </c>
      <c r="J3">
        <f>E3/(1000*(D3*0.001*C3/60))</f>
        <v>0.12827172827172828</v>
      </c>
    </row>
    <row r="4" spans="1:10" x14ac:dyDescent="0.2">
      <c r="A4" t="s">
        <v>6</v>
      </c>
      <c r="C4" t="s">
        <v>0</v>
      </c>
      <c r="D4" t="s">
        <v>2</v>
      </c>
      <c r="E4" t="s">
        <v>3</v>
      </c>
      <c r="F4" t="s">
        <v>4</v>
      </c>
    </row>
    <row r="5" spans="1:10" x14ac:dyDescent="0.2">
      <c r="B5" t="s">
        <v>1</v>
      </c>
      <c r="C5">
        <v>11550</v>
      </c>
      <c r="D5">
        <v>25.9</v>
      </c>
      <c r="E5">
        <v>122</v>
      </c>
      <c r="F5">
        <v>24</v>
      </c>
      <c r="G5">
        <f>INT(C5/60)</f>
        <v>192</v>
      </c>
      <c r="I5">
        <f>ROUND(E5/D5,1)</f>
        <v>4.7</v>
      </c>
      <c r="J5">
        <f>E5/(1000*(D5*0.001*C5/60))</f>
        <v>2.4469738755453045E-2</v>
      </c>
    </row>
    <row r="6" spans="1:10" x14ac:dyDescent="0.2">
      <c r="B6" t="s">
        <v>8</v>
      </c>
      <c r="C6">
        <v>5854</v>
      </c>
      <c r="D6">
        <v>540</v>
      </c>
      <c r="E6">
        <v>486</v>
      </c>
      <c r="F6">
        <v>304</v>
      </c>
      <c r="G6">
        <f>INT(C6/60)</f>
        <v>97</v>
      </c>
      <c r="I6">
        <f>ROUND(E6/D6,1)</f>
        <v>0.9</v>
      </c>
      <c r="J6">
        <f>E6/(1000*(D6*0.001*C6/60))</f>
        <v>9.2244619063887919E-3</v>
      </c>
    </row>
    <row r="7" spans="1:10" x14ac:dyDescent="0.2">
      <c r="A7" t="s">
        <v>7</v>
      </c>
      <c r="C7" t="s">
        <v>0</v>
      </c>
      <c r="D7" t="s">
        <v>2</v>
      </c>
      <c r="E7" t="s">
        <v>3</v>
      </c>
      <c r="F7" t="s">
        <v>4</v>
      </c>
    </row>
    <row r="8" spans="1:10" x14ac:dyDescent="0.2">
      <c r="B8" t="s">
        <v>1</v>
      </c>
      <c r="C8">
        <v>15580</v>
      </c>
      <c r="D8">
        <v>5.7</v>
      </c>
      <c r="E8">
        <v>162</v>
      </c>
      <c r="F8">
        <v>24</v>
      </c>
      <c r="G8">
        <f>INT(C8/60)</f>
        <v>259</v>
      </c>
      <c r="I8">
        <f>ROUND(E8/D8,1)</f>
        <v>28.4</v>
      </c>
      <c r="J8">
        <f>E8/(1000*(D8*0.001*C8/60))</f>
        <v>0.10945206404972638</v>
      </c>
    </row>
    <row r="9" spans="1:10" x14ac:dyDescent="0.2">
      <c r="B9" t="s">
        <v>9</v>
      </c>
      <c r="C9">
        <v>7800</v>
      </c>
      <c r="D9">
        <v>19.399999999999999</v>
      </c>
      <c r="E9">
        <v>575</v>
      </c>
      <c r="F9">
        <v>280</v>
      </c>
      <c r="G9">
        <f>INT(C9/60)</f>
        <v>130</v>
      </c>
      <c r="I9">
        <f>ROUND(E9/D9,1)</f>
        <v>29.6</v>
      </c>
      <c r="J9">
        <f>E9/(1000*(D9*0.001*C9/60))</f>
        <v>0.22799365582870737</v>
      </c>
    </row>
    <row r="10" spans="1:10" x14ac:dyDescent="0.2">
      <c r="A10" t="s">
        <v>10</v>
      </c>
      <c r="C10" t="s">
        <v>0</v>
      </c>
      <c r="D10" t="s">
        <v>2</v>
      </c>
      <c r="E10" t="s">
        <v>3</v>
      </c>
      <c r="F10" t="s">
        <v>4</v>
      </c>
    </row>
    <row r="11" spans="1:10" x14ac:dyDescent="0.2">
      <c r="B11" t="s">
        <v>1</v>
      </c>
      <c r="C11">
        <v>23000</v>
      </c>
      <c r="D11">
        <v>22.5</v>
      </c>
      <c r="E11">
        <v>240</v>
      </c>
      <c r="F11">
        <v>29</v>
      </c>
      <c r="G11">
        <f>INT(C11/60)</f>
        <v>383</v>
      </c>
      <c r="I11">
        <f>ROUND(E11/D11,1)</f>
        <v>10.7</v>
      </c>
      <c r="J11">
        <f>E11/(1000*(D11*0.001*C11/60))</f>
        <v>2.782608695652174E-2</v>
      </c>
    </row>
    <row r="12" spans="1:10" x14ac:dyDescent="0.2">
      <c r="B12" t="s">
        <v>9</v>
      </c>
      <c r="C12">
        <v>11500</v>
      </c>
      <c r="D12">
        <v>47.1</v>
      </c>
      <c r="E12">
        <v>859</v>
      </c>
      <c r="F12">
        <v>286</v>
      </c>
      <c r="G12">
        <f>INT(C12/60)</f>
        <v>191</v>
      </c>
      <c r="I12">
        <f>ROUND(E12/D12,1)</f>
        <v>18.2</v>
      </c>
      <c r="J12">
        <f>E12/(1000*(D12*0.001*C12/60))</f>
        <v>9.515369703683188E-2</v>
      </c>
    </row>
    <row r="13" spans="1:10" x14ac:dyDescent="0.2">
      <c r="A13" t="s">
        <v>11</v>
      </c>
      <c r="C13" t="s">
        <v>0</v>
      </c>
      <c r="D13" t="s">
        <v>2</v>
      </c>
      <c r="E13" t="s">
        <v>3</v>
      </c>
      <c r="F13" t="s">
        <v>4</v>
      </c>
    </row>
    <row r="14" spans="1:10" x14ac:dyDescent="0.2">
      <c r="B14" t="s">
        <v>1</v>
      </c>
      <c r="C14">
        <v>24760</v>
      </c>
      <c r="D14">
        <v>66.7</v>
      </c>
      <c r="E14">
        <v>271</v>
      </c>
      <c r="F14">
        <v>34</v>
      </c>
      <c r="G14">
        <f>INT(C14/60)</f>
        <v>412</v>
      </c>
      <c r="I14">
        <f>ROUND(E14/D14,1)</f>
        <v>4.0999999999999996</v>
      </c>
      <c r="J14">
        <f>E14/(1000*(D14*0.001*C14/60))</f>
        <v>9.8456426068064488E-3</v>
      </c>
    </row>
    <row r="15" spans="1:10" x14ac:dyDescent="0.2">
      <c r="B15" t="s">
        <v>9</v>
      </c>
      <c r="C15">
        <v>12789</v>
      </c>
      <c r="D15">
        <v>358</v>
      </c>
      <c r="E15">
        <v>978</v>
      </c>
      <c r="F15">
        <v>308</v>
      </c>
      <c r="G15">
        <f>INT(C15/60)</f>
        <v>213</v>
      </c>
      <c r="I15">
        <f>ROUND(E15/D15,1)</f>
        <v>2.7</v>
      </c>
      <c r="J15">
        <f>E15/(1000*(D15*0.001*C15/60))</f>
        <v>1.2816530966075507E-2</v>
      </c>
    </row>
    <row r="16" spans="1:10" x14ac:dyDescent="0.2">
      <c r="A16" t="s">
        <v>12</v>
      </c>
      <c r="C16" t="s">
        <v>0</v>
      </c>
      <c r="D16" t="s">
        <v>2</v>
      </c>
      <c r="E16" t="s">
        <v>3</v>
      </c>
      <c r="F16" t="s">
        <v>4</v>
      </c>
    </row>
    <row r="17" spans="2:10" x14ac:dyDescent="0.2">
      <c r="B17" t="s">
        <v>1</v>
      </c>
      <c r="C17">
        <v>25667</v>
      </c>
      <c r="D17">
        <v>59.8</v>
      </c>
      <c r="E17">
        <v>269</v>
      </c>
      <c r="F17">
        <v>36</v>
      </c>
      <c r="G17">
        <f>INT(C17/60)</f>
        <v>427</v>
      </c>
      <c r="I17">
        <f>ROUND(E17/D17,1)</f>
        <v>4.5</v>
      </c>
      <c r="J17">
        <f>E17/(1000*(D17*0.001*C17/60))</f>
        <v>1.0515434821048018E-2</v>
      </c>
    </row>
    <row r="18" spans="2:10" x14ac:dyDescent="0.2">
      <c r="B18" t="s">
        <v>9</v>
      </c>
      <c r="C18">
        <v>13280</v>
      </c>
      <c r="D18">
        <v>743</v>
      </c>
      <c r="E18">
        <v>995</v>
      </c>
      <c r="F18">
        <v>321</v>
      </c>
      <c r="G18">
        <f>INT(C18/60)</f>
        <v>221</v>
      </c>
      <c r="I18">
        <f>ROUND(E18/D18,1)</f>
        <v>1.3</v>
      </c>
      <c r="J18">
        <f>E18/(1000*(D18*0.001*C18/60))</f>
        <v>6.0504467398530869E-3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Ze</dc:creator>
  <cp:lastModifiedBy>Wang, Ze</cp:lastModifiedBy>
  <dcterms:created xsi:type="dcterms:W3CDTF">2026-03-23T14:14:45Z</dcterms:created>
  <dcterms:modified xsi:type="dcterms:W3CDTF">2026-04-02T13:38:19Z</dcterms:modified>
</cp:coreProperties>
</file>